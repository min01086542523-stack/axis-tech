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대장" sheetId="1" state="visible" r:id="rId1"/>
    <sheet name="명세서_최현미" sheetId="2" state="visible" r:id="rId2"/>
    <sheet name="명세서_김하늘" sheetId="3" state="visible" r:id="rId3"/>
    <sheet name="명세서_이준호" sheetId="4" state="visible" r:id="rId4"/>
  </sheets>
  <definedNames>
    <definedName name="_xlnm._FilterDatabase" localSheetId="0" hidden="1">'급여대장'!$A$3:$AE$6</definedName>
    <definedName name="_xlnm.Print_Titles" localSheetId="1">'명세서_최현미'!$1:$3</definedName>
    <definedName name="_xlnm.Print_Area" localSheetId="1">'명세서_최현미'!$A$1:$F$22</definedName>
    <definedName name="_xlnm.Print_Titles" localSheetId="2">'명세서_김하늘'!$1:$3</definedName>
    <definedName name="_xlnm.Print_Area" localSheetId="2">'명세서_김하늘'!$A$1:$F$22</definedName>
    <definedName name="_xlnm.Print_Titles" localSheetId="3">'명세서_이준호'!$1:$3</definedName>
    <definedName name="_xlnm.Print_Area" localSheetId="3">'명세서_이준호'!$A$1:$F$22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i val="1"/>
      <color rgb="00666666"/>
      <sz val="9"/>
    </font>
    <font>
      <name val="Malgun Gothic"/>
      <b val="1"/>
      <sz val="10"/>
    </font>
    <font>
      <name val="Malgun Gothic"/>
      <sz val="10"/>
    </font>
    <font>
      <name val="Malgun Gothic"/>
      <b val="1"/>
      <color rgb="00FF0000"/>
      <sz val="10"/>
    </font>
    <font>
      <name val="Malgun Gothic"/>
      <sz val="9"/>
    </font>
    <font>
      <name val="Malgun Gothic"/>
      <b val="1"/>
      <color rgb="00FF0000"/>
      <sz val="12"/>
    </font>
    <font>
      <name val="Malgun Gothic"/>
      <b val="1"/>
      <color rgb="00E67E22"/>
      <sz val="9"/>
    </font>
  </fonts>
  <fills count="9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F8CBA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8" customHeight="1">
      <c r="A1" s="1" t="inlineStr">
        <is>
          <t>2026년 07월분 급여 대장</t>
        </is>
      </c>
    </row>
    <row r="2" ht="36" customHeight="1">
      <c r="A2" s="2" t="inlineStr">
        <is>
          <t>노란 칸만 입력하세요. 초록 칸(ⓐ 보험 주민세 ⓑ 실지급)은 수식입니다. 4대보험=Y 이면 국민연금 4.5% · 건강보험 3.495% · 고용보험 0.9% · 장기요양=건강보험×12.27% 를 자동 계산합니다. 각 명세서 시트는 이 표와 연동됩니다.</t>
        </is>
      </c>
    </row>
    <row r="3" ht="22" customHeight="1">
      <c r="A3" s="3" t="inlineStr">
        <is>
          <t>번호</t>
        </is>
      </c>
      <c r="B3" s="3" t="inlineStr">
        <is>
          <t>성명</t>
        </is>
      </c>
      <c r="C3" s="3" t="inlineStr">
        <is>
          <t>입사일자</t>
        </is>
      </c>
      <c r="D3" s="3" t="inlineStr">
        <is>
          <t>4대보험</t>
        </is>
      </c>
      <c r="E3" s="3" t="inlineStr">
        <is>
          <t>기본급시간</t>
        </is>
      </c>
      <c r="F3" s="3" t="inlineStr">
        <is>
          <t>기본급</t>
        </is>
      </c>
      <c r="G3" s="3" t="inlineStr">
        <is>
          <t>상여금</t>
        </is>
      </c>
      <c r="H3" s="3" t="inlineStr">
        <is>
          <t>연장시간</t>
        </is>
      </c>
      <c r="I3" s="3" t="inlineStr">
        <is>
          <t>연장근무</t>
        </is>
      </c>
      <c r="J3" s="3" t="inlineStr">
        <is>
          <t>심야시간</t>
        </is>
      </c>
      <c r="K3" s="3" t="inlineStr">
        <is>
          <t>심야근무</t>
        </is>
      </c>
      <c r="L3" s="3" t="inlineStr">
        <is>
          <t>특근시간</t>
        </is>
      </c>
      <c r="M3" s="3" t="inlineStr">
        <is>
          <t>특근근무</t>
        </is>
      </c>
      <c r="N3" s="3" t="inlineStr">
        <is>
          <t>납땜수당</t>
        </is>
      </c>
      <c r="O3" s="3" t="inlineStr">
        <is>
          <t>지급소계ⓐ</t>
        </is>
      </c>
      <c r="P3" s="3" t="inlineStr">
        <is>
          <t>국민연금</t>
        </is>
      </c>
      <c r="Q3" s="3" t="inlineStr">
        <is>
          <t>건강보험ⓒ</t>
        </is>
      </c>
      <c r="R3" s="3" t="inlineStr">
        <is>
          <t>장기요양</t>
        </is>
      </c>
      <c r="S3" s="3" t="inlineStr">
        <is>
          <t>보험공제</t>
        </is>
      </c>
      <c r="T3" s="3" t="inlineStr">
        <is>
          <t>고용보험</t>
        </is>
      </c>
      <c r="U3" s="3" t="inlineStr">
        <is>
          <t>연말정산</t>
        </is>
      </c>
      <c r="V3" s="3" t="inlineStr">
        <is>
          <t>부양가족</t>
        </is>
      </c>
      <c r="W3" s="3" t="inlineStr">
        <is>
          <t>소득세ⓓ</t>
        </is>
      </c>
      <c r="X3" s="3" t="inlineStr">
        <is>
          <t>주민세</t>
        </is>
      </c>
      <c r="Y3" s="3" t="inlineStr">
        <is>
          <t>지각조퇴시간</t>
        </is>
      </c>
      <c r="Z3" s="3" t="inlineStr">
        <is>
          <t>지각조퇴금액</t>
        </is>
      </c>
      <c r="AA3" s="3" t="inlineStr">
        <is>
          <t>외출반차시간</t>
        </is>
      </c>
      <c r="AB3" s="3" t="inlineStr">
        <is>
          <t>외출반차금액</t>
        </is>
      </c>
      <c r="AC3" s="3" t="inlineStr">
        <is>
          <t>선지급액</t>
        </is>
      </c>
      <c r="AD3" s="3" t="inlineStr">
        <is>
          <t>공제액ⓑ</t>
        </is>
      </c>
      <c r="AE3" s="3" t="inlineStr">
        <is>
          <t>차인지급액</t>
        </is>
      </c>
    </row>
    <row r="4">
      <c r="A4" s="4" t="n">
        <v>1</v>
      </c>
      <c r="B4" s="5" t="inlineStr">
        <is>
          <t>최현미</t>
        </is>
      </c>
      <c r="C4" s="5" t="inlineStr">
        <is>
          <t>2018.11.01</t>
        </is>
      </c>
      <c r="D4" s="5" t="inlineStr">
        <is>
          <t>N</t>
        </is>
      </c>
      <c r="E4" s="6" t="n">
        <v>216</v>
      </c>
      <c r="F4" s="7" t="n">
        <v>2229120</v>
      </c>
      <c r="G4" s="7" t="n">
        <v>0</v>
      </c>
      <c r="H4" s="6" t="n">
        <v>0</v>
      </c>
      <c r="I4" s="7" t="n">
        <v>0</v>
      </c>
      <c r="J4" s="6" t="n">
        <v>0</v>
      </c>
      <c r="K4" s="7" t="n">
        <v>0</v>
      </c>
      <c r="L4" s="6" t="n">
        <v>0</v>
      </c>
      <c r="M4" s="7" t="n">
        <v>0</v>
      </c>
      <c r="N4" s="7" t="n">
        <v>0</v>
      </c>
      <c r="O4" s="8">
        <f>F4+G4+I4+K4+M4+N4</f>
        <v/>
      </c>
      <c r="P4" s="9">
        <f>IF(D4="Y",ROUND(O4*0.045,0),0)</f>
        <v/>
      </c>
      <c r="Q4" s="9">
        <f>IF(D4="Y",ROUND(O4*0.03495,0),0)</f>
        <v/>
      </c>
      <c r="R4" s="9">
        <f>ROUND(Q4*0.1227,0)</f>
        <v/>
      </c>
      <c r="S4" s="7" t="n">
        <v>0</v>
      </c>
      <c r="T4" s="9">
        <f>IF(D4="Y",ROUND(O4*0.009,0),0)</f>
        <v/>
      </c>
      <c r="U4" s="7" t="n">
        <v>0</v>
      </c>
      <c r="V4" s="5" t="inlineStr"/>
      <c r="W4" s="7" t="n">
        <v>66874</v>
      </c>
      <c r="X4" s="9">
        <f>ROUND(W4*0.1,0)</f>
        <v/>
      </c>
      <c r="Y4" s="6" t="n">
        <v>0</v>
      </c>
      <c r="Z4" s="7" t="n">
        <v>0</v>
      </c>
      <c r="AA4" s="6" t="n">
        <v>0</v>
      </c>
      <c r="AB4" s="7" t="n">
        <v>0</v>
      </c>
      <c r="AC4" s="10" t="n">
        <v>300000</v>
      </c>
      <c r="AD4" s="8">
        <f>P4+Q4+R4+S4+T4+U4+W4+X4+Z4+AB4+AC4</f>
        <v/>
      </c>
      <c r="AE4" s="11">
        <f>O4-AD4</f>
        <v/>
      </c>
    </row>
    <row r="5">
      <c r="A5" s="4" t="n">
        <v>2</v>
      </c>
      <c r="B5" s="5" t="inlineStr">
        <is>
          <t>김하늘</t>
        </is>
      </c>
      <c r="C5" s="5" t="inlineStr">
        <is>
          <t>2020.03.02</t>
        </is>
      </c>
      <c r="D5" s="5" t="inlineStr">
        <is>
          <t>Y</t>
        </is>
      </c>
      <c r="E5" s="6" t="n">
        <v>209</v>
      </c>
      <c r="F5" s="7" t="n">
        <v>2500000</v>
      </c>
      <c r="G5" s="7" t="n">
        <v>150000</v>
      </c>
      <c r="H5" s="6" t="n">
        <v>12</v>
      </c>
      <c r="I5" s="7" t="n">
        <v>270000</v>
      </c>
      <c r="J5" s="6" t="n">
        <v>0</v>
      </c>
      <c r="K5" s="7" t="n">
        <v>0</v>
      </c>
      <c r="L5" s="6" t="n">
        <v>8</v>
      </c>
      <c r="M5" s="7" t="n">
        <v>200000</v>
      </c>
      <c r="N5" s="7" t="n">
        <v>50000</v>
      </c>
      <c r="O5" s="8">
        <f>F5+G5+I5+K5+M5+N5</f>
        <v/>
      </c>
      <c r="P5" s="9">
        <f>IF(D5="Y",ROUND(O5*0.045,0),0)</f>
        <v/>
      </c>
      <c r="Q5" s="9">
        <f>IF(D5="Y",ROUND(O5*0.03495,0),0)</f>
        <v/>
      </c>
      <c r="R5" s="9">
        <f>ROUND(Q5*0.1227,0)</f>
        <v/>
      </c>
      <c r="S5" s="7" t="n">
        <v>0</v>
      </c>
      <c r="T5" s="9">
        <f>IF(D5="Y",ROUND(O5*0.009,0),0)</f>
        <v/>
      </c>
      <c r="U5" s="7" t="n">
        <v>0</v>
      </c>
      <c r="V5" s="5" t="inlineStr">
        <is>
          <t>본인+배우자</t>
        </is>
      </c>
      <c r="W5" s="7" t="n">
        <v>82000</v>
      </c>
      <c r="X5" s="9">
        <f>ROUND(W5*0.1,0)</f>
        <v/>
      </c>
      <c r="Y5" s="6" t="n">
        <v>0</v>
      </c>
      <c r="Z5" s="7" t="n">
        <v>0</v>
      </c>
      <c r="AA5" s="6" t="n">
        <v>0</v>
      </c>
      <c r="AB5" s="7" t="n">
        <v>0</v>
      </c>
      <c r="AC5" s="10" t="n">
        <v>0</v>
      </c>
      <c r="AD5" s="8">
        <f>P5+Q5+R5+S5+T5+U5+W5+X5+Z5+AB5+AC5</f>
        <v/>
      </c>
      <c r="AE5" s="11">
        <f>O5-AD5</f>
        <v/>
      </c>
    </row>
    <row r="6">
      <c r="A6" s="4" t="n">
        <v>3</v>
      </c>
      <c r="B6" s="5" t="inlineStr">
        <is>
          <t>이준호</t>
        </is>
      </c>
      <c r="C6" s="5" t="inlineStr">
        <is>
          <t>2022.06.15</t>
        </is>
      </c>
      <c r="D6" s="5" t="inlineStr">
        <is>
          <t>Y</t>
        </is>
      </c>
      <c r="E6" s="6" t="n">
        <v>200</v>
      </c>
      <c r="F6" s="7" t="n">
        <v>2800000</v>
      </c>
      <c r="G6" s="7" t="n">
        <v>0</v>
      </c>
      <c r="H6" s="6" t="n">
        <v>6</v>
      </c>
      <c r="I6" s="7" t="n">
        <v>157500</v>
      </c>
      <c r="J6" s="6" t="n">
        <v>4</v>
      </c>
      <c r="K6" s="7" t="n">
        <v>80000</v>
      </c>
      <c r="L6" s="6" t="n">
        <v>0</v>
      </c>
      <c r="M6" s="7" t="n">
        <v>0</v>
      </c>
      <c r="N6" s="7" t="n">
        <v>30000</v>
      </c>
      <c r="O6" s="8">
        <f>F6+G6+I6+K6+M6+N6</f>
        <v/>
      </c>
      <c r="P6" s="9">
        <f>IF(D6="Y",ROUND(O6*0.045,0),0)</f>
        <v/>
      </c>
      <c r="Q6" s="9">
        <f>IF(D6="Y",ROUND(O6*0.03495,0),0)</f>
        <v/>
      </c>
      <c r="R6" s="9">
        <f>ROUND(Q6*0.1227,0)</f>
        <v/>
      </c>
      <c r="S6" s="7" t="n">
        <v>0</v>
      </c>
      <c r="T6" s="9">
        <f>IF(D6="Y",ROUND(O6*0.009,0),0)</f>
        <v/>
      </c>
      <c r="U6" s="7" t="n">
        <v>0</v>
      </c>
      <c r="V6" s="5" t="inlineStr">
        <is>
          <t>본인</t>
        </is>
      </c>
      <c r="W6" s="7" t="n">
        <v>95430</v>
      </c>
      <c r="X6" s="9">
        <f>ROUND(W6*0.1,0)</f>
        <v/>
      </c>
      <c r="Y6" s="6" t="n">
        <v>1</v>
      </c>
      <c r="Z6" s="7" t="n">
        <v>15000</v>
      </c>
      <c r="AA6" s="6" t="n">
        <v>0</v>
      </c>
      <c r="AB6" s="7" t="n">
        <v>0</v>
      </c>
      <c r="AC6" s="10" t="n">
        <v>100000</v>
      </c>
      <c r="AD6" s="8">
        <f>P6+Q6+R6+S6+T6+U6+W6+X6+Z6+AB6+AC6</f>
        <v/>
      </c>
      <c r="AE6" s="11">
        <f>O6-AD6</f>
        <v/>
      </c>
    </row>
  </sheetData>
  <autoFilter ref="A3:AE6"/>
  <mergeCells count="2">
    <mergeCell ref="A1:AE1"/>
    <mergeCell ref="A2:AE2"/>
  </mergeCells>
  <dataValidations count="1">
    <dataValidation sqref="D4:D6" showDropDown="0" showInputMessage="0" showErrorMessage="0" allowBlank="0" errorTitle="4대보험" error="Y 또는 N" type="list">
      <formula1>"Y,N"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&amp;L㈜네드핌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12" t="inlineStr">
        <is>
          <t>2026년 07월분 급여 명세서</t>
        </is>
      </c>
      <c r="B1" s="13" t="n"/>
      <c r="C1" s="13" t="n"/>
      <c r="D1" s="13" t="n"/>
      <c r="E1" s="13" t="n"/>
      <c r="F1" s="13" t="n"/>
    </row>
    <row r="2" ht="22" customHeight="1">
      <c r="A2" s="3" t="inlineStr">
        <is>
          <t>성명</t>
        </is>
      </c>
      <c r="B2" s="14">
        <f>'급여대장'!B4</f>
        <v/>
      </c>
      <c r="C2" s="14" t="n"/>
      <c r="D2" s="3" t="inlineStr">
        <is>
          <t>입사일자</t>
        </is>
      </c>
      <c r="E2" s="15">
        <f>'급여대장'!C4</f>
        <v/>
      </c>
      <c r="F2" s="15" t="n"/>
    </row>
    <row r="3" ht="20" customHeight="1">
      <c r="A3" s="3" t="inlineStr">
        <is>
          <t>구분</t>
        </is>
      </c>
      <c r="B3" s="3" t="inlineStr">
        <is>
          <t>시간</t>
        </is>
      </c>
      <c r="C3" s="3" t="inlineStr">
        <is>
          <t>금액</t>
        </is>
      </c>
      <c r="D3" s="3" t="inlineStr">
        <is>
          <t>구분</t>
        </is>
      </c>
      <c r="E3" s="3" t="inlineStr">
        <is>
          <t>요율</t>
        </is>
      </c>
      <c r="F3" s="3" t="inlineStr">
        <is>
          <t>금액</t>
        </is>
      </c>
    </row>
    <row r="4" ht="20" customHeight="1">
      <c r="A4" s="14" t="inlineStr">
        <is>
          <t>기본급</t>
        </is>
      </c>
      <c r="B4" s="16">
        <f>'급여대장'!E4</f>
        <v/>
      </c>
      <c r="C4" s="17">
        <f>'급여대장'!F4</f>
        <v/>
      </c>
      <c r="D4" s="14" t="inlineStr">
        <is>
          <t>국민연금</t>
        </is>
      </c>
      <c r="E4" s="18" t="inlineStr">
        <is>
          <t>ⓐ × 4.5%</t>
        </is>
      </c>
      <c r="F4" s="17">
        <f>'급여대장'!P4</f>
        <v/>
      </c>
    </row>
    <row r="5" ht="20" customHeight="1">
      <c r="A5" s="14" t="inlineStr">
        <is>
          <t>상여금</t>
        </is>
      </c>
      <c r="B5" s="15" t="n"/>
      <c r="C5" s="17">
        <f>'급여대장'!G4</f>
        <v/>
      </c>
      <c r="D5" s="14" t="inlineStr">
        <is>
          <t>건강보험 ⓒ</t>
        </is>
      </c>
      <c r="E5" s="18" t="inlineStr">
        <is>
          <t>ⓐ × 3.495%</t>
        </is>
      </c>
      <c r="F5" s="17">
        <f>'급여대장'!Q4</f>
        <v/>
      </c>
    </row>
    <row r="6" ht="20" customHeight="1">
      <c r="A6" s="14" t="inlineStr">
        <is>
          <t>연장근무</t>
        </is>
      </c>
      <c r="B6" s="16">
        <f>'급여대장'!H4</f>
        <v/>
      </c>
      <c r="C6" s="17">
        <f>'급여대장'!I4</f>
        <v/>
      </c>
      <c r="D6" s="14" t="inlineStr">
        <is>
          <t>장기요양</t>
        </is>
      </c>
      <c r="E6" s="18" t="inlineStr">
        <is>
          <t>ⓒ × 12.27%</t>
        </is>
      </c>
      <c r="F6" s="17">
        <f>'급여대장'!R4</f>
        <v/>
      </c>
    </row>
    <row r="7" ht="20" customHeight="1">
      <c r="A7" s="14" t="inlineStr">
        <is>
          <t>심야근무</t>
        </is>
      </c>
      <c r="B7" s="16">
        <f>'급여대장'!J4</f>
        <v/>
      </c>
      <c r="C7" s="17">
        <f>'급여대장'!K4</f>
        <v/>
      </c>
      <c r="D7" s="14" t="inlineStr">
        <is>
          <t>보험공제</t>
        </is>
      </c>
      <c r="E7" s="18" t="inlineStr"/>
      <c r="F7" s="17">
        <f>'급여대장'!S4</f>
        <v/>
      </c>
    </row>
    <row r="8" ht="20" customHeight="1">
      <c r="A8" s="14" t="inlineStr">
        <is>
          <t>특근근무</t>
        </is>
      </c>
      <c r="B8" s="16">
        <f>'급여대장'!L4</f>
        <v/>
      </c>
      <c r="C8" s="17">
        <f>'급여대장'!M4</f>
        <v/>
      </c>
      <c r="D8" s="14" t="inlineStr">
        <is>
          <t>고용보험</t>
        </is>
      </c>
      <c r="E8" s="18" t="inlineStr">
        <is>
          <t>ⓐ × 0.9%</t>
        </is>
      </c>
      <c r="F8" s="17">
        <f>'급여대장'!T4</f>
        <v/>
      </c>
    </row>
    <row r="9" ht="20" customHeight="1">
      <c r="A9" s="14" t="inlineStr">
        <is>
          <t>납땜수당</t>
        </is>
      </c>
      <c r="B9" s="15" t="n"/>
      <c r="C9" s="17">
        <f>'급여대장'!N4</f>
        <v/>
      </c>
      <c r="D9" s="14" t="inlineStr">
        <is>
          <t>연말정산</t>
        </is>
      </c>
      <c r="E9" s="18" t="inlineStr"/>
      <c r="F9" s="17">
        <f>'급여대장'!U4</f>
        <v/>
      </c>
    </row>
    <row r="10" ht="20" customHeight="1">
      <c r="A10" s="15" t="n"/>
      <c r="B10" s="15" t="n"/>
      <c r="C10" s="15" t="n"/>
      <c r="D10" s="14" t="inlineStr">
        <is>
          <t>부양가족공제대상</t>
        </is>
      </c>
      <c r="E10" s="18" t="inlineStr"/>
      <c r="F10" s="15">
        <f>'급여대장'!V4</f>
        <v/>
      </c>
    </row>
    <row r="11" ht="20" customHeight="1">
      <c r="A11" s="15" t="n"/>
      <c r="B11" s="15" t="n"/>
      <c r="C11" s="15" t="n"/>
      <c r="D11" s="14" t="inlineStr">
        <is>
          <t>소득세 ⓓ</t>
        </is>
      </c>
      <c r="E11" s="18" t="inlineStr"/>
      <c r="F11" s="17">
        <f>'급여대장'!W4</f>
        <v/>
      </c>
    </row>
    <row r="12" ht="20" customHeight="1">
      <c r="A12" s="15" t="n"/>
      <c r="B12" s="15" t="n"/>
      <c r="C12" s="15" t="n"/>
      <c r="D12" s="14" t="inlineStr">
        <is>
          <t>주민세</t>
        </is>
      </c>
      <c r="E12" s="18" t="inlineStr">
        <is>
          <t>ⓓ × 10%</t>
        </is>
      </c>
      <c r="F12" s="17">
        <f>'급여대장'!X4</f>
        <v/>
      </c>
    </row>
    <row r="13" ht="20" customHeight="1">
      <c r="A13" s="15" t="n"/>
      <c r="B13" s="15" t="n"/>
      <c r="C13" s="15" t="n"/>
      <c r="D13" s="14" t="inlineStr">
        <is>
          <t>지각, 조퇴</t>
        </is>
      </c>
      <c r="E13" s="16">
        <f>'급여대장'!Y4</f>
        <v/>
      </c>
      <c r="F13" s="17">
        <f>'급여대장'!Z4</f>
        <v/>
      </c>
    </row>
    <row r="14" ht="20" customHeight="1">
      <c r="A14" s="15" t="n"/>
      <c r="B14" s="15" t="n"/>
      <c r="C14" s="15" t="n"/>
      <c r="D14" s="14" t="inlineStr">
        <is>
          <t>외출, 반차</t>
        </is>
      </c>
      <c r="E14" s="16">
        <f>'급여대장'!AA4</f>
        <v/>
      </c>
      <c r="F14" s="17">
        <f>'급여대장'!AB4</f>
        <v/>
      </c>
    </row>
    <row r="15" ht="20" customHeight="1">
      <c r="A15" s="15" t="n"/>
      <c r="B15" s="15" t="n"/>
      <c r="C15" s="15" t="n"/>
      <c r="D15" s="19" t="inlineStr">
        <is>
          <t>선지급액</t>
        </is>
      </c>
      <c r="E15" s="18" t="inlineStr"/>
      <c r="F15" s="20">
        <f>'급여대장'!AC4</f>
        <v/>
      </c>
    </row>
    <row r="16" ht="20" customHeight="1">
      <c r="A16" s="21" t="inlineStr">
        <is>
          <t>소계 ⓐ</t>
        </is>
      </c>
      <c r="B16" s="22" t="n"/>
      <c r="C16" s="8">
        <f>'급여대장'!O4</f>
        <v/>
      </c>
      <c r="D16" s="21" t="inlineStr">
        <is>
          <t>공제액 ⓑ</t>
        </is>
      </c>
      <c r="E16" s="22" t="n"/>
      <c r="F16" s="8">
        <f>'급여대장'!AD4</f>
        <v/>
      </c>
    </row>
    <row r="17" ht="26" customHeight="1">
      <c r="A17" s="23" t="inlineStr">
        <is>
          <t>차인지급액  ⓐ - ⓑ</t>
        </is>
      </c>
      <c r="B17" s="24" t="n"/>
      <c r="C17" s="24" t="n"/>
      <c r="D17" s="24" t="n"/>
      <c r="E17" s="24" t="n"/>
      <c r="F17" s="11">
        <f>'급여대장'!AE4</f>
        <v/>
      </c>
    </row>
    <row r="19">
      <c r="A19" s="25" t="inlineStr">
        <is>
          <t>항상 저희와 같이 힘쓰며 근무해주시는 분들께 감사드립니다. 한달동안 정말 고생 많으셨습니다.</t>
        </is>
      </c>
    </row>
    <row r="20">
      <c r="A20" s="26" t="inlineStr">
        <is>
          <t>㈜네드핌</t>
        </is>
      </c>
      <c r="C20" s="27" t="inlineStr">
        <is>
          <t>☎ 031-256-3852</t>
        </is>
      </c>
      <c r="F20" s="28" t="inlineStr">
        <is>
          <t>NAEUN 나은미래 MIRAE</t>
        </is>
      </c>
    </row>
    <row r="21">
      <c r="A21" s="29" t="inlineStr">
        <is>
          <t>문의사항은 업무시간(09:00~18:00)에 연락주시기 바랍니다.</t>
        </is>
      </c>
    </row>
    <row r="22">
      <c r="A22" s="29" t="inlineStr">
        <is>
          <t>지각, 조퇴, 병가, 휴가는 사무실로 연락주시기 바랍니다.</t>
        </is>
      </c>
    </row>
  </sheetData>
  <mergeCells count="7">
    <mergeCell ref="B2:C2"/>
    <mergeCell ref="E2:F2"/>
    <mergeCell ref="A1:F1"/>
    <mergeCell ref="A19:E19"/>
    <mergeCell ref="A22:F22"/>
    <mergeCell ref="A21:F21"/>
    <mergeCell ref="A17:E17"/>
  </mergeCells>
  <pageMargins left="0.4" right="0.4" top="0.5" bottom="0.4" header="0.5" footer="0.5"/>
  <pageSetup orientation="portrait" paperSize="9" fitToHeight="1" fitToWidth="1"/>
  <headerFooter>
    <oddHeader/>
    <oddFooter>&amp;C㈜네드핌  /  최현미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12" t="inlineStr">
        <is>
          <t>2026년 07월분 급여 명세서</t>
        </is>
      </c>
      <c r="B1" s="13" t="n"/>
      <c r="C1" s="13" t="n"/>
      <c r="D1" s="13" t="n"/>
      <c r="E1" s="13" t="n"/>
      <c r="F1" s="13" t="n"/>
    </row>
    <row r="2" ht="22" customHeight="1">
      <c r="A2" s="3" t="inlineStr">
        <is>
          <t>성명</t>
        </is>
      </c>
      <c r="B2" s="14">
        <f>'급여대장'!B5</f>
        <v/>
      </c>
      <c r="C2" s="14" t="n"/>
      <c r="D2" s="3" t="inlineStr">
        <is>
          <t>입사일자</t>
        </is>
      </c>
      <c r="E2" s="15">
        <f>'급여대장'!C5</f>
        <v/>
      </c>
      <c r="F2" s="15" t="n"/>
    </row>
    <row r="3" ht="20" customHeight="1">
      <c r="A3" s="3" t="inlineStr">
        <is>
          <t>구분</t>
        </is>
      </c>
      <c r="B3" s="3" t="inlineStr">
        <is>
          <t>시간</t>
        </is>
      </c>
      <c r="C3" s="3" t="inlineStr">
        <is>
          <t>금액</t>
        </is>
      </c>
      <c r="D3" s="3" t="inlineStr">
        <is>
          <t>구분</t>
        </is>
      </c>
      <c r="E3" s="3" t="inlineStr">
        <is>
          <t>요율</t>
        </is>
      </c>
      <c r="F3" s="3" t="inlineStr">
        <is>
          <t>금액</t>
        </is>
      </c>
    </row>
    <row r="4" ht="20" customHeight="1">
      <c r="A4" s="14" t="inlineStr">
        <is>
          <t>기본급</t>
        </is>
      </c>
      <c r="B4" s="16">
        <f>'급여대장'!E5</f>
        <v/>
      </c>
      <c r="C4" s="17">
        <f>'급여대장'!F5</f>
        <v/>
      </c>
      <c r="D4" s="14" t="inlineStr">
        <is>
          <t>국민연금</t>
        </is>
      </c>
      <c r="E4" s="18" t="inlineStr">
        <is>
          <t>ⓐ × 4.5%</t>
        </is>
      </c>
      <c r="F4" s="17">
        <f>'급여대장'!P5</f>
        <v/>
      </c>
    </row>
    <row r="5" ht="20" customHeight="1">
      <c r="A5" s="14" t="inlineStr">
        <is>
          <t>상여금</t>
        </is>
      </c>
      <c r="B5" s="15" t="n"/>
      <c r="C5" s="17">
        <f>'급여대장'!G5</f>
        <v/>
      </c>
      <c r="D5" s="14" t="inlineStr">
        <is>
          <t>건강보험 ⓒ</t>
        </is>
      </c>
      <c r="E5" s="18" t="inlineStr">
        <is>
          <t>ⓐ × 3.495%</t>
        </is>
      </c>
      <c r="F5" s="17">
        <f>'급여대장'!Q5</f>
        <v/>
      </c>
    </row>
    <row r="6" ht="20" customHeight="1">
      <c r="A6" s="14" t="inlineStr">
        <is>
          <t>연장근무</t>
        </is>
      </c>
      <c r="B6" s="16">
        <f>'급여대장'!H5</f>
        <v/>
      </c>
      <c r="C6" s="17">
        <f>'급여대장'!I5</f>
        <v/>
      </c>
      <c r="D6" s="14" t="inlineStr">
        <is>
          <t>장기요양</t>
        </is>
      </c>
      <c r="E6" s="18" t="inlineStr">
        <is>
          <t>ⓒ × 12.27%</t>
        </is>
      </c>
      <c r="F6" s="17">
        <f>'급여대장'!R5</f>
        <v/>
      </c>
    </row>
    <row r="7" ht="20" customHeight="1">
      <c r="A7" s="14" t="inlineStr">
        <is>
          <t>심야근무</t>
        </is>
      </c>
      <c r="B7" s="16">
        <f>'급여대장'!J5</f>
        <v/>
      </c>
      <c r="C7" s="17">
        <f>'급여대장'!K5</f>
        <v/>
      </c>
      <c r="D7" s="14" t="inlineStr">
        <is>
          <t>보험공제</t>
        </is>
      </c>
      <c r="E7" s="18" t="inlineStr"/>
      <c r="F7" s="17">
        <f>'급여대장'!S5</f>
        <v/>
      </c>
    </row>
    <row r="8" ht="20" customHeight="1">
      <c r="A8" s="14" t="inlineStr">
        <is>
          <t>특근근무</t>
        </is>
      </c>
      <c r="B8" s="16">
        <f>'급여대장'!L5</f>
        <v/>
      </c>
      <c r="C8" s="17">
        <f>'급여대장'!M5</f>
        <v/>
      </c>
      <c r="D8" s="14" t="inlineStr">
        <is>
          <t>고용보험</t>
        </is>
      </c>
      <c r="E8" s="18" t="inlineStr">
        <is>
          <t>ⓐ × 0.9%</t>
        </is>
      </c>
      <c r="F8" s="17">
        <f>'급여대장'!T5</f>
        <v/>
      </c>
    </row>
    <row r="9" ht="20" customHeight="1">
      <c r="A9" s="14" t="inlineStr">
        <is>
          <t>납땜수당</t>
        </is>
      </c>
      <c r="B9" s="15" t="n"/>
      <c r="C9" s="17">
        <f>'급여대장'!N5</f>
        <v/>
      </c>
      <c r="D9" s="14" t="inlineStr">
        <is>
          <t>연말정산</t>
        </is>
      </c>
      <c r="E9" s="18" t="inlineStr"/>
      <c r="F9" s="17">
        <f>'급여대장'!U5</f>
        <v/>
      </c>
    </row>
    <row r="10" ht="20" customHeight="1">
      <c r="A10" s="15" t="n"/>
      <c r="B10" s="15" t="n"/>
      <c r="C10" s="15" t="n"/>
      <c r="D10" s="14" t="inlineStr">
        <is>
          <t>부양가족공제대상</t>
        </is>
      </c>
      <c r="E10" s="18" t="inlineStr"/>
      <c r="F10" s="15">
        <f>'급여대장'!V5</f>
        <v/>
      </c>
    </row>
    <row r="11" ht="20" customHeight="1">
      <c r="A11" s="15" t="n"/>
      <c r="B11" s="15" t="n"/>
      <c r="C11" s="15" t="n"/>
      <c r="D11" s="14" t="inlineStr">
        <is>
          <t>소득세 ⓓ</t>
        </is>
      </c>
      <c r="E11" s="18" t="inlineStr"/>
      <c r="F11" s="17">
        <f>'급여대장'!W5</f>
        <v/>
      </c>
    </row>
    <row r="12" ht="20" customHeight="1">
      <c r="A12" s="15" t="n"/>
      <c r="B12" s="15" t="n"/>
      <c r="C12" s="15" t="n"/>
      <c r="D12" s="14" t="inlineStr">
        <is>
          <t>주민세</t>
        </is>
      </c>
      <c r="E12" s="18" t="inlineStr">
        <is>
          <t>ⓓ × 10%</t>
        </is>
      </c>
      <c r="F12" s="17">
        <f>'급여대장'!X5</f>
        <v/>
      </c>
    </row>
    <row r="13" ht="20" customHeight="1">
      <c r="A13" s="15" t="n"/>
      <c r="B13" s="15" t="n"/>
      <c r="C13" s="15" t="n"/>
      <c r="D13" s="14" t="inlineStr">
        <is>
          <t>지각, 조퇴</t>
        </is>
      </c>
      <c r="E13" s="16">
        <f>'급여대장'!Y5</f>
        <v/>
      </c>
      <c r="F13" s="17">
        <f>'급여대장'!Z5</f>
        <v/>
      </c>
    </row>
    <row r="14" ht="20" customHeight="1">
      <c r="A14" s="15" t="n"/>
      <c r="B14" s="15" t="n"/>
      <c r="C14" s="15" t="n"/>
      <c r="D14" s="14" t="inlineStr">
        <is>
          <t>외출, 반차</t>
        </is>
      </c>
      <c r="E14" s="16">
        <f>'급여대장'!AA5</f>
        <v/>
      </c>
      <c r="F14" s="17">
        <f>'급여대장'!AB5</f>
        <v/>
      </c>
    </row>
    <row r="15" ht="20" customHeight="1">
      <c r="A15" s="15" t="n"/>
      <c r="B15" s="15" t="n"/>
      <c r="C15" s="15" t="n"/>
      <c r="D15" s="19" t="inlineStr">
        <is>
          <t>선지급액</t>
        </is>
      </c>
      <c r="E15" s="18" t="inlineStr"/>
      <c r="F15" s="20">
        <f>'급여대장'!AC5</f>
        <v/>
      </c>
    </row>
    <row r="16" ht="20" customHeight="1">
      <c r="A16" s="21" t="inlineStr">
        <is>
          <t>소계 ⓐ</t>
        </is>
      </c>
      <c r="B16" s="22" t="n"/>
      <c r="C16" s="8">
        <f>'급여대장'!O5</f>
        <v/>
      </c>
      <c r="D16" s="21" t="inlineStr">
        <is>
          <t>공제액 ⓑ</t>
        </is>
      </c>
      <c r="E16" s="22" t="n"/>
      <c r="F16" s="8">
        <f>'급여대장'!AD5</f>
        <v/>
      </c>
    </row>
    <row r="17" ht="26" customHeight="1">
      <c r="A17" s="23" t="inlineStr">
        <is>
          <t>차인지급액  ⓐ - ⓑ</t>
        </is>
      </c>
      <c r="B17" s="24" t="n"/>
      <c r="C17" s="24" t="n"/>
      <c r="D17" s="24" t="n"/>
      <c r="E17" s="24" t="n"/>
      <c r="F17" s="11">
        <f>'급여대장'!AE5</f>
        <v/>
      </c>
    </row>
    <row r="19">
      <c r="A19" s="25" t="inlineStr">
        <is>
          <t>항상 저희와 같이 힘쓰며 근무해주시는 분들께 감사드립니다. 한달동안 정말 고생 많으셨습니다.</t>
        </is>
      </c>
    </row>
    <row r="20">
      <c r="A20" s="26" t="inlineStr">
        <is>
          <t>㈜네드핌</t>
        </is>
      </c>
      <c r="C20" s="27" t="inlineStr">
        <is>
          <t>☎ 031-256-3852</t>
        </is>
      </c>
      <c r="F20" s="28" t="inlineStr">
        <is>
          <t>NAEUN 나은미래 MIRAE</t>
        </is>
      </c>
    </row>
    <row r="21">
      <c r="A21" s="29" t="inlineStr">
        <is>
          <t>문의사항은 업무시간(09:00~18:00)에 연락주시기 바랍니다.</t>
        </is>
      </c>
    </row>
    <row r="22">
      <c r="A22" s="29" t="inlineStr">
        <is>
          <t>지각, 조퇴, 병가, 휴가는 사무실로 연락주시기 바랍니다.</t>
        </is>
      </c>
    </row>
  </sheetData>
  <mergeCells count="7">
    <mergeCell ref="B2:C2"/>
    <mergeCell ref="E2:F2"/>
    <mergeCell ref="A1:F1"/>
    <mergeCell ref="A19:E19"/>
    <mergeCell ref="A22:F22"/>
    <mergeCell ref="A21:F21"/>
    <mergeCell ref="A17:E17"/>
  </mergeCells>
  <pageMargins left="0.4" right="0.4" top="0.5" bottom="0.4" header="0.5" footer="0.5"/>
  <pageSetup orientation="portrait" paperSize="9" fitToHeight="1" fitToWidth="1"/>
  <headerFooter>
    <oddHeader/>
    <oddFooter>&amp;C㈜네드핌  /  김하늘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 ht="32" customHeight="1">
      <c r="A1" s="12" t="inlineStr">
        <is>
          <t>2026년 07월분 급여 명세서</t>
        </is>
      </c>
      <c r="B1" s="13" t="n"/>
      <c r="C1" s="13" t="n"/>
      <c r="D1" s="13" t="n"/>
      <c r="E1" s="13" t="n"/>
      <c r="F1" s="13" t="n"/>
    </row>
    <row r="2" ht="22" customHeight="1">
      <c r="A2" s="3" t="inlineStr">
        <is>
          <t>성명</t>
        </is>
      </c>
      <c r="B2" s="14">
        <f>'급여대장'!B6</f>
        <v/>
      </c>
      <c r="C2" s="14" t="n"/>
      <c r="D2" s="3" t="inlineStr">
        <is>
          <t>입사일자</t>
        </is>
      </c>
      <c r="E2" s="15">
        <f>'급여대장'!C6</f>
        <v/>
      </c>
      <c r="F2" s="15" t="n"/>
    </row>
    <row r="3" ht="20" customHeight="1">
      <c r="A3" s="3" t="inlineStr">
        <is>
          <t>구분</t>
        </is>
      </c>
      <c r="B3" s="3" t="inlineStr">
        <is>
          <t>시간</t>
        </is>
      </c>
      <c r="C3" s="3" t="inlineStr">
        <is>
          <t>금액</t>
        </is>
      </c>
      <c r="D3" s="3" t="inlineStr">
        <is>
          <t>구분</t>
        </is>
      </c>
      <c r="E3" s="3" t="inlineStr">
        <is>
          <t>요율</t>
        </is>
      </c>
      <c r="F3" s="3" t="inlineStr">
        <is>
          <t>금액</t>
        </is>
      </c>
    </row>
    <row r="4" ht="20" customHeight="1">
      <c r="A4" s="14" t="inlineStr">
        <is>
          <t>기본급</t>
        </is>
      </c>
      <c r="B4" s="16">
        <f>'급여대장'!E6</f>
        <v/>
      </c>
      <c r="C4" s="17">
        <f>'급여대장'!F6</f>
        <v/>
      </c>
      <c r="D4" s="14" t="inlineStr">
        <is>
          <t>국민연금</t>
        </is>
      </c>
      <c r="E4" s="18" t="inlineStr">
        <is>
          <t>ⓐ × 4.5%</t>
        </is>
      </c>
      <c r="F4" s="17">
        <f>'급여대장'!P6</f>
        <v/>
      </c>
    </row>
    <row r="5" ht="20" customHeight="1">
      <c r="A5" s="14" t="inlineStr">
        <is>
          <t>상여금</t>
        </is>
      </c>
      <c r="B5" s="15" t="n"/>
      <c r="C5" s="17">
        <f>'급여대장'!G6</f>
        <v/>
      </c>
      <c r="D5" s="14" t="inlineStr">
        <is>
          <t>건강보험 ⓒ</t>
        </is>
      </c>
      <c r="E5" s="18" t="inlineStr">
        <is>
          <t>ⓐ × 3.495%</t>
        </is>
      </c>
      <c r="F5" s="17">
        <f>'급여대장'!Q6</f>
        <v/>
      </c>
    </row>
    <row r="6" ht="20" customHeight="1">
      <c r="A6" s="14" t="inlineStr">
        <is>
          <t>연장근무</t>
        </is>
      </c>
      <c r="B6" s="16">
        <f>'급여대장'!H6</f>
        <v/>
      </c>
      <c r="C6" s="17">
        <f>'급여대장'!I6</f>
        <v/>
      </c>
      <c r="D6" s="14" t="inlineStr">
        <is>
          <t>장기요양</t>
        </is>
      </c>
      <c r="E6" s="18" t="inlineStr">
        <is>
          <t>ⓒ × 12.27%</t>
        </is>
      </c>
      <c r="F6" s="17">
        <f>'급여대장'!R6</f>
        <v/>
      </c>
    </row>
    <row r="7" ht="20" customHeight="1">
      <c r="A7" s="14" t="inlineStr">
        <is>
          <t>심야근무</t>
        </is>
      </c>
      <c r="B7" s="16">
        <f>'급여대장'!J6</f>
        <v/>
      </c>
      <c r="C7" s="17">
        <f>'급여대장'!K6</f>
        <v/>
      </c>
      <c r="D7" s="14" t="inlineStr">
        <is>
          <t>보험공제</t>
        </is>
      </c>
      <c r="E7" s="18" t="inlineStr"/>
      <c r="F7" s="17">
        <f>'급여대장'!S6</f>
        <v/>
      </c>
    </row>
    <row r="8" ht="20" customHeight="1">
      <c r="A8" s="14" t="inlineStr">
        <is>
          <t>특근근무</t>
        </is>
      </c>
      <c r="B8" s="16">
        <f>'급여대장'!L6</f>
        <v/>
      </c>
      <c r="C8" s="17">
        <f>'급여대장'!M6</f>
        <v/>
      </c>
      <c r="D8" s="14" t="inlineStr">
        <is>
          <t>고용보험</t>
        </is>
      </c>
      <c r="E8" s="18" t="inlineStr">
        <is>
          <t>ⓐ × 0.9%</t>
        </is>
      </c>
      <c r="F8" s="17">
        <f>'급여대장'!T6</f>
        <v/>
      </c>
    </row>
    <row r="9" ht="20" customHeight="1">
      <c r="A9" s="14" t="inlineStr">
        <is>
          <t>납땜수당</t>
        </is>
      </c>
      <c r="B9" s="15" t="n"/>
      <c r="C9" s="17">
        <f>'급여대장'!N6</f>
        <v/>
      </c>
      <c r="D9" s="14" t="inlineStr">
        <is>
          <t>연말정산</t>
        </is>
      </c>
      <c r="E9" s="18" t="inlineStr"/>
      <c r="F9" s="17">
        <f>'급여대장'!U6</f>
        <v/>
      </c>
    </row>
    <row r="10" ht="20" customHeight="1">
      <c r="A10" s="15" t="n"/>
      <c r="B10" s="15" t="n"/>
      <c r="C10" s="15" t="n"/>
      <c r="D10" s="14" t="inlineStr">
        <is>
          <t>부양가족공제대상</t>
        </is>
      </c>
      <c r="E10" s="18" t="inlineStr"/>
      <c r="F10" s="15">
        <f>'급여대장'!V6</f>
        <v/>
      </c>
    </row>
    <row r="11" ht="20" customHeight="1">
      <c r="A11" s="15" t="n"/>
      <c r="B11" s="15" t="n"/>
      <c r="C11" s="15" t="n"/>
      <c r="D11" s="14" t="inlineStr">
        <is>
          <t>소득세 ⓓ</t>
        </is>
      </c>
      <c r="E11" s="18" t="inlineStr"/>
      <c r="F11" s="17">
        <f>'급여대장'!W6</f>
        <v/>
      </c>
    </row>
    <row r="12" ht="20" customHeight="1">
      <c r="A12" s="15" t="n"/>
      <c r="B12" s="15" t="n"/>
      <c r="C12" s="15" t="n"/>
      <c r="D12" s="14" t="inlineStr">
        <is>
          <t>주민세</t>
        </is>
      </c>
      <c r="E12" s="18" t="inlineStr">
        <is>
          <t>ⓓ × 10%</t>
        </is>
      </c>
      <c r="F12" s="17">
        <f>'급여대장'!X6</f>
        <v/>
      </c>
    </row>
    <row r="13" ht="20" customHeight="1">
      <c r="A13" s="15" t="n"/>
      <c r="B13" s="15" t="n"/>
      <c r="C13" s="15" t="n"/>
      <c r="D13" s="14" t="inlineStr">
        <is>
          <t>지각, 조퇴</t>
        </is>
      </c>
      <c r="E13" s="16">
        <f>'급여대장'!Y6</f>
        <v/>
      </c>
      <c r="F13" s="17">
        <f>'급여대장'!Z6</f>
        <v/>
      </c>
    </row>
    <row r="14" ht="20" customHeight="1">
      <c r="A14" s="15" t="n"/>
      <c r="B14" s="15" t="n"/>
      <c r="C14" s="15" t="n"/>
      <c r="D14" s="14" t="inlineStr">
        <is>
          <t>외출, 반차</t>
        </is>
      </c>
      <c r="E14" s="16">
        <f>'급여대장'!AA6</f>
        <v/>
      </c>
      <c r="F14" s="17">
        <f>'급여대장'!AB6</f>
        <v/>
      </c>
    </row>
    <row r="15" ht="20" customHeight="1">
      <c r="A15" s="15" t="n"/>
      <c r="B15" s="15" t="n"/>
      <c r="C15" s="15" t="n"/>
      <c r="D15" s="19" t="inlineStr">
        <is>
          <t>선지급액</t>
        </is>
      </c>
      <c r="E15" s="18" t="inlineStr"/>
      <c r="F15" s="20">
        <f>'급여대장'!AC6</f>
        <v/>
      </c>
    </row>
    <row r="16" ht="20" customHeight="1">
      <c r="A16" s="21" t="inlineStr">
        <is>
          <t>소계 ⓐ</t>
        </is>
      </c>
      <c r="B16" s="22" t="n"/>
      <c r="C16" s="8">
        <f>'급여대장'!O6</f>
        <v/>
      </c>
      <c r="D16" s="21" t="inlineStr">
        <is>
          <t>공제액 ⓑ</t>
        </is>
      </c>
      <c r="E16" s="22" t="n"/>
      <c r="F16" s="8">
        <f>'급여대장'!AD6</f>
        <v/>
      </c>
    </row>
    <row r="17" ht="26" customHeight="1">
      <c r="A17" s="23" t="inlineStr">
        <is>
          <t>차인지급액  ⓐ - ⓑ</t>
        </is>
      </c>
      <c r="B17" s="24" t="n"/>
      <c r="C17" s="24" t="n"/>
      <c r="D17" s="24" t="n"/>
      <c r="E17" s="24" t="n"/>
      <c r="F17" s="11">
        <f>'급여대장'!AE6</f>
        <v/>
      </c>
    </row>
    <row r="19">
      <c r="A19" s="25" t="inlineStr">
        <is>
          <t>항상 저희와 같이 힘쓰며 근무해주시는 분들께 감사드립니다. 한달동안 정말 고생 많으셨습니다.</t>
        </is>
      </c>
    </row>
    <row r="20">
      <c r="A20" s="26" t="inlineStr">
        <is>
          <t>㈜네드핌</t>
        </is>
      </c>
      <c r="C20" s="27" t="inlineStr">
        <is>
          <t>☎ 031-256-3852</t>
        </is>
      </c>
      <c r="F20" s="28" t="inlineStr">
        <is>
          <t>NAEUN 나은미래 MIRAE</t>
        </is>
      </c>
    </row>
    <row r="21">
      <c r="A21" s="29" t="inlineStr">
        <is>
          <t>문의사항은 업무시간(09:00~18:00)에 연락주시기 바랍니다.</t>
        </is>
      </c>
    </row>
    <row r="22">
      <c r="A22" s="29" t="inlineStr">
        <is>
          <t>지각, 조퇴, 병가, 휴가는 사무실로 연락주시기 바랍니다.</t>
        </is>
      </c>
    </row>
  </sheetData>
  <mergeCells count="7">
    <mergeCell ref="B2:C2"/>
    <mergeCell ref="E2:F2"/>
    <mergeCell ref="A1:F1"/>
    <mergeCell ref="A19:E19"/>
    <mergeCell ref="A22:F22"/>
    <mergeCell ref="A21:F21"/>
    <mergeCell ref="A17:E17"/>
  </mergeCells>
  <pageMargins left="0.4" right="0.4" top="0.5" bottom="0.4" header="0.5" footer="0.5"/>
  <pageSetup orientation="portrait" paperSize="9" fitToHeight="1" fitToWidth="1"/>
  <headerFooter>
    <oddHeader/>
    <oddFooter>&amp;C㈜네드핌  /  이준호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2026-08-30T08:34:16Z</dcterms:created>
  <dcterms:modified xsi:type="dcterms:W3CDTF">2026-08-30T08:34:16Z</dcterms:modified>
</cp:coreProperties>
</file>